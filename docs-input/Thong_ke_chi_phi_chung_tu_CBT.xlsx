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369B6176-04B2-43A5-AAB8-1ACD643F5F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p 3 2026" sheetId="2" r:id="rId1"/>
  </sheets>
  <calcPr calcId="191029"/>
  <oleSize ref="A1:H5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<sst xmlns="http://schemas.openxmlformats.org/spreadsheetml/2006/main" count="160" uniqueCount="75">
  <si>
    <t>TT</t>
  </si>
  <si>
    <t>Khoản mục</t>
  </si>
  <si>
    <t>Ghi chú</t>
  </si>
  <si>
    <t>Kiểm dịch VN</t>
  </si>
  <si>
    <t>Gửi xe tại điểm đóng hàng</t>
  </si>
  <si>
    <t>Nhà nghỉ</t>
  </si>
  <si>
    <t>Giấy tờ cửa khẩu</t>
  </si>
  <si>
    <t>Phí bãi xe Viettel</t>
  </si>
  <si>
    <t>Biên phòng Việt Nam</t>
  </si>
  <si>
    <t>Giấy phép vận tải hạng C</t>
  </si>
  <si>
    <t>Bàn cân 1 và 2 tại cửa khẩu Trung Quốc</t>
  </si>
  <si>
    <t>Bãi kiểm hóa tại cửa khẩu Trung Quốc</t>
  </si>
  <si>
    <t>Bãi cắm điện tại cửa khẩu Trung Quốc</t>
  </si>
  <si>
    <t>Bãi trả hàng tại cửa khẩu Trung Quốc</t>
  </si>
  <si>
    <t>Bổi dưỡng bốc xếp tại cửa khẩu Trung Quốc</t>
  </si>
  <si>
    <t>Taxi đi lại giữa hai cửa khẩu</t>
  </si>
  <si>
    <t>Sim điện thoại Trung Quốc</t>
  </si>
  <si>
    <t>Cân xe tại Việt Nam</t>
  </si>
  <si>
    <t>Bãi chờ tại cửa khẩu giáp Campuchia</t>
  </si>
  <si>
    <t>Phí kiểm dịch Việt Nam</t>
  </si>
  <si>
    <t>Kiểm dịch Campuchia</t>
  </si>
  <si>
    <t>Công an Campuchia</t>
  </si>
  <si>
    <t>Bải trả hàng Campuchia</t>
  </si>
  <si>
    <t>Sầu riêng Thái Lan</t>
  </si>
  <si>
    <t>Sầu riêng Việt Nam</t>
  </si>
  <si>
    <t>Hàng nóng Campuchia</t>
  </si>
  <si>
    <t>Dẫn xe Trung Quốc</t>
  </si>
  <si>
    <t>Hóa đơn VAT</t>
  </si>
  <si>
    <t>Bồi dưỡng bốc xếp tại vựa nhận hàng</t>
  </si>
  <si>
    <t>v</t>
  </si>
  <si>
    <t>x</t>
  </si>
  <si>
    <t>Phiếu thu</t>
  </si>
  <si>
    <t>Phí cân xe tại cửa khẩu Trung Quốc</t>
  </si>
  <si>
    <t>Đơn giá 1 lần đi, nếu có. Chi phí này có thể lặp lại nhiều lần/chuyến hàng.</t>
  </si>
  <si>
    <t>Đơn giá 1 đêm, nếu có</t>
  </si>
  <si>
    <t>Hàng CBT - 2026</t>
  </si>
  <si>
    <t>Phí kiểm hóa/Soi chiếu container tại Campuchia</t>
  </si>
  <si>
    <t>Đơn giá phí bãi 1 ngày, có thể kéo dài nhiều hơn 1 ngày</t>
  </si>
  <si>
    <t>Đơn giá 1 ngày và có thể kéo dài nhiều hơn 1 ngày. Đơn giá khác nhau giữa các bãi.</t>
  </si>
  <si>
    <t>Cẩu đổi container tại Campuchia</t>
  </si>
  <si>
    <t>1.100.000</t>
  </si>
  <si>
    <t>nếu có phát sinh</t>
  </si>
  <si>
    <t>3.000.000</t>
  </si>
  <si>
    <t>Phí bốc xếp tại vựa</t>
  </si>
  <si>
    <t>I</t>
  </si>
  <si>
    <t>II</t>
  </si>
  <si>
    <t>a.</t>
  </si>
  <si>
    <t>b.</t>
  </si>
  <si>
    <t>Phí kiểm dịch tại Trung Quốc</t>
  </si>
  <si>
    <t>Phí bảo hiểm tại Trung Quốc</t>
  </si>
  <si>
    <t>Phí bốc xếp tại Trung Quốc</t>
  </si>
  <si>
    <t>Phí lấy mẫu</t>
  </si>
  <si>
    <t>Bốc xếp kiểm dịch cửa khẩu</t>
  </si>
  <si>
    <t>Bãi bắt sâu</t>
  </si>
  <si>
    <t>Tổng</t>
  </si>
  <si>
    <t xml:space="preserve">Đơn giá 1 lần, nếu có. </t>
  </si>
  <si>
    <t>Trung Quốc trông lạnh</t>
  </si>
  <si>
    <t>Tài bo đánh xe vào bãi</t>
  </si>
  <si>
    <t>nếu có phát sinh, tùy khoảng cách đánh xe có thể chi phí sẽ khác nhau</t>
  </si>
  <si>
    <t>Phí dịch vụ khai báo thủ tục tại Chalo</t>
  </si>
  <si>
    <t>Phí dịch vụ khai báo thủ tục tại Hữu Nghị</t>
  </si>
  <si>
    <t>Phí cơ sở hạ tầng tại cửa khảu (Chalo)</t>
  </si>
  <si>
    <t>Phí cơ sở hạ tầng tại cửa khảu (Hữu Nghị)</t>
  </si>
  <si>
    <t>Phí cân xe Viettel</t>
  </si>
  <si>
    <t>Nếu có phát sinh, tùy điểm lấy mẫu số tiền khác nhau</t>
  </si>
  <si>
    <t>Nếu có phát sinh, tùy vựa đóng hàng, số tiền sẽ khác nhau</t>
  </si>
  <si>
    <t>Chi phí ghi nhận trên Lệnh vận tải trả cho lái xe</t>
  </si>
  <si>
    <t>Chi phí tại cửa khẩu Trung Quốc / Cửa khẩu Campuchia, ghi nhận trên Lệnh vận tải và trả cho lái xe</t>
  </si>
  <si>
    <t>Chi phí tại cửa khẩu Việt Nam, ghi nhận trên Lệnh vận tải và trả cho lái xe</t>
  </si>
  <si>
    <t>CHI PHÍ &amp; CHỨNG TỪ THANH TOÁN</t>
  </si>
  <si>
    <t>Kế toán Delta chuyển trả thẳng cho Ban quản lý cửa khẩu</t>
  </si>
  <si>
    <t>Thanh toán sau cho NCC bằng hợp đồng, hóa đơn</t>
  </si>
  <si>
    <t>Thanh toán sau theo hợp đồng và hóa đơn của Viettel</t>
  </si>
  <si>
    <t>Đơn giá phí bãi 1 ngày, có thể kéo dài nhiều hơn 1 ngày. Thanh toán sau theo hợp đồng và hóa đơn của Viettel</t>
  </si>
  <si>
    <r>
      <t xml:space="preserve">Chi phí trả cho nhà cung cấp 
</t>
    </r>
    <r>
      <rPr>
        <i/>
        <sz val="10"/>
        <color rgb="FFFF0000"/>
        <rFont val="Times New Roman"/>
        <family val="1"/>
      </rPr>
      <t>(Delta làm thủ tục hải quan cho hàng sầu riêng Thái Lan, không phát sinh các phí này với hàng sầu riêng VN và hàng Campuchia)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</si>
</sst>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i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8" fontId="2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38" fontId="2" fillId="2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38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38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A4" sqref="A4"/>
    </sheetView>
  </sheetViews>
  <sheetFormatPr defaultColWidth="8.7265625" defaultRowHeight="15.5" x14ac:dyDescent="0.35"/>
  <cols>
    <col min="1" max="1" width="4.1796875" style="5" customWidth="1"/>
    <col min="2" max="2" width="35.453125" style="5" customWidth="1"/>
    <col min="3" max="4" width="9.6328125" style="5" customWidth="1"/>
    <col min="5" max="5" width="10.1796875" style="5" customWidth="1"/>
    <col min="6" max="6" width="8" style="6" customWidth="1"/>
    <col min="7" max="7" width="5.7265625" style="6" bestFit="1" customWidth="1"/>
    <col min="8" max="8" width="43.26953125" style="5" customWidth="1"/>
    <col min="9" max="16384" width="8.7265625" style="5"/>
  </cols>
  <sheetData>
    <row r="1" spans="1:8" s="7" customFormat="1" ht="18" x14ac:dyDescent="0.35">
      <c r="A1" s="8" t="s">
        <v>69</v>
      </c>
      <c r="B1" s="9"/>
      <c r="C1" s="9"/>
      <c r="D1" s="9"/>
      <c r="E1" s="9"/>
      <c r="F1" s="10"/>
      <c r="G1" s="10"/>
      <c r="H1" s="9"/>
    </row>
    <row r="2" spans="1:8" s="5" customFormat="1" x14ac:dyDescent="0.35">
      <c r="A2" s="28" t="s">
        <v>35</v>
      </c>
      <c r="B2" s="11"/>
      <c r="C2" s="11"/>
      <c r="D2" s="11"/>
      <c r="E2" s="11"/>
      <c r="F2" s="12"/>
      <c r="G2" s="12"/>
      <c r="H2" s="11"/>
    </row>
    <row r="3" spans="1:8" s="5" customFormat="1" x14ac:dyDescent="0.35">
      <c r="A3" s="28"/>
      <c r="B3" s="11"/>
      <c r="C3" s="11"/>
      <c r="D3" s="11"/>
      <c r="E3" s="11"/>
      <c r="F3" s="12"/>
      <c r="G3" s="12"/>
      <c r="H3" s="11"/>
    </row>
    <row r="4" spans="1:8" s="5" customFormat="1" ht="10.5" customHeight="1" x14ac:dyDescent="0.35">
      <c r="A4" s="11"/>
      <c r="B4" s="11"/>
      <c r="C4" s="11"/>
      <c r="D4" s="11"/>
      <c r="E4" s="11"/>
      <c r="F4" s="12"/>
      <c r="G4" s="12"/>
      <c r="H4" s="11"/>
    </row>
    <row r="5" spans="1:8" s="4" customFormat="1" ht="26.5" thickBot="1" x14ac:dyDescent="0.4">
      <c r="A5" s="25" t="s">
        <v>0</v>
      </c>
      <c r="B5" s="25" t="s">
        <v>1</v>
      </c>
      <c r="C5" s="25" t="s">
        <v>23</v>
      </c>
      <c r="D5" s="25" t="s">
        <v>24</v>
      </c>
      <c r="E5" s="25" t="s">
        <v>25</v>
      </c>
      <c r="F5" s="25" t="s">
        <v>27</v>
      </c>
      <c r="G5" s="25" t="s">
        <v>31</v>
      </c>
      <c r="H5" s="25" t="s">
        <v>2</v>
      </c>
    </row>
    <row r="6" spans="1:8" s="5" customFormat="1" ht="26.25" customHeight="1" thickTop="1" x14ac:dyDescent="0.35">
      <c r="A6" s="21" t="s">
        <v>44</v>
      </c>
      <c r="B6" s="30" t="s">
        <v>74</v>
      </c>
      <c r="C6" s="27"/>
      <c r="D6" s="27"/>
      <c r="E6" s="27"/>
      <c r="F6" s="27"/>
      <c r="G6" s="27"/>
      <c r="H6" s="29"/>
    </row>
    <row r="7" spans="1:8" s="5" customFormat="1" x14ac:dyDescent="0.35">
      <c r="A7" s="13">
        <v>1</v>
      </c>
      <c r="B7" s="14" t="s">
        <v>61</v>
      </c>
      <c r="C7" s="15">
        <v>1100000</v>
      </c>
      <c r="D7" s="16"/>
      <c r="E7" s="16"/>
      <c r="F7" s="13" t="s">
        <v>29</v>
      </c>
      <c r="G7" s="13"/>
      <c r="H7" s="14" t="s">
        <v>70</v>
      </c>
    </row>
    <row r="8" spans="1:8" s="5" customFormat="1" x14ac:dyDescent="0.35">
      <c r="A8" s="17">
        <v>2</v>
      </c>
      <c r="B8" s="18" t="s">
        <v>62</v>
      </c>
      <c r="C8" s="19">
        <v>4000000</v>
      </c>
      <c r="D8" s="19"/>
      <c r="E8" s="20"/>
      <c r="F8" s="17" t="s">
        <v>29</v>
      </c>
      <c r="G8" s="17"/>
      <c r="H8" s="14" t="s">
        <v>70</v>
      </c>
    </row>
    <row r="9" spans="1:8" s="5" customFormat="1" x14ac:dyDescent="0.35">
      <c r="A9" s="17">
        <v>3</v>
      </c>
      <c r="B9" s="18" t="s">
        <v>59</v>
      </c>
      <c r="C9" s="19">
        <v>6200000</v>
      </c>
      <c r="D9" s="19"/>
      <c r="E9" s="20"/>
      <c r="F9" s="17" t="s">
        <v>29</v>
      </c>
      <c r="G9" s="17"/>
      <c r="H9" s="18" t="s">
        <v>71</v>
      </c>
    </row>
    <row r="10" spans="1:8" s="5" customFormat="1" x14ac:dyDescent="0.35">
      <c r="A10" s="17">
        <v>4</v>
      </c>
      <c r="B10" s="18" t="s">
        <v>60</v>
      </c>
      <c r="C10" s="19">
        <v>2668000</v>
      </c>
      <c r="D10" s="19"/>
      <c r="E10" s="20"/>
      <c r="F10" s="17" t="s">
        <v>29</v>
      </c>
      <c r="G10" s="17"/>
      <c r="H10" s="18" t="s">
        <v>71</v>
      </c>
    </row>
    <row r="11" spans="1:8" s="5" customFormat="1" x14ac:dyDescent="0.35">
      <c r="A11" s="17">
        <v>5</v>
      </c>
      <c r="B11" s="18" t="s">
        <v>7</v>
      </c>
      <c r="C11" s="19">
        <v>340000</v>
      </c>
      <c r="D11" s="19"/>
      <c r="E11" s="20"/>
      <c r="F11" s="17" t="s">
        <v>29</v>
      </c>
      <c r="G11" s="17"/>
      <c r="H11" s="20" t="s">
        <v>73</v>
      </c>
    </row>
    <row r="12" spans="1:8" s="5" customFormat="1" x14ac:dyDescent="0.35">
      <c r="A12" s="17">
        <v>6</v>
      </c>
      <c r="B12" s="18" t="s">
        <v>63</v>
      </c>
      <c r="C12" s="19">
        <v>70000</v>
      </c>
      <c r="D12" s="19"/>
      <c r="E12" s="20"/>
      <c r="F12" s="17" t="s">
        <v>29</v>
      </c>
      <c r="G12" s="17"/>
      <c r="H12" s="20" t="s">
        <v>72</v>
      </c>
    </row>
    <row r="13" spans="1:8" s="5" customFormat="1" x14ac:dyDescent="0.35">
      <c r="A13" s="23"/>
      <c r="B13" s="23" t="s">
        <v>54</v>
      </c>
      <c r="C13" s="22">
        <f>SUM(C7:C12)</f>
        <v>14378000</v>
      </c>
      <c r="D13" s="22">
        <f>SUM(D7:D12)</f>
        <v>0</v>
      </c>
      <c r="E13" s="22">
        <f>SUM(E7:E12)</f>
        <v>0</v>
      </c>
      <c r="F13" s="17"/>
      <c r="G13" s="17"/>
      <c r="H13" s="18"/>
    </row>
    <row r="14" spans="1:8" s="5" customFormat="1" ht="26.25" customHeight="1" x14ac:dyDescent="0.35">
      <c r="A14" s="23" t="s">
        <v>45</v>
      </c>
      <c r="B14" s="26" t="s">
        <v>66</v>
      </c>
      <c r="C14" s="24"/>
      <c r="D14" s="24"/>
      <c r="E14" s="24"/>
      <c r="F14" s="24"/>
      <c r="G14" s="24"/>
      <c r="H14" s="24"/>
    </row>
    <row r="15" spans="1:8" s="5" customFormat="1" ht="26.25" customHeight="1" x14ac:dyDescent="0.35">
      <c r="A15" s="23" t="s">
        <v>46</v>
      </c>
      <c r="B15" s="26" t="s">
        <v>68</v>
      </c>
      <c r="C15" s="24"/>
      <c r="D15" s="24"/>
      <c r="E15" s="24"/>
      <c r="F15" s="24"/>
      <c r="G15" s="24"/>
      <c r="H15" s="24"/>
    </row>
    <row r="16" spans="1:8" s="5" customFormat="1" x14ac:dyDescent="0.35">
      <c r="A16" s="1">
        <v>1</v>
      </c>
      <c r="B16" s="18" t="s">
        <v>28</v>
      </c>
      <c r="C16" s="19"/>
      <c r="D16" s="19">
        <v>300000</v>
      </c>
      <c r="E16" s="20"/>
      <c r="F16" s="17" t="s">
        <v>30</v>
      </c>
      <c r="G16" s="17" t="s">
        <v>30</v>
      </c>
      <c r="H16" s="18"/>
    </row>
    <row r="17" spans="1:8" s="5" customFormat="1" x14ac:dyDescent="0.35">
      <c r="A17" s="1">
        <v>2</v>
      </c>
      <c r="B17" s="18" t="s">
        <v>52</v>
      </c>
      <c r="C17" s="19"/>
      <c r="D17" s="19">
        <v>200000</v>
      </c>
      <c r="E17" s="19">
        <v>340000</v>
      </c>
      <c r="F17" s="17" t="s">
        <v>29</v>
      </c>
      <c r="G17" s="17"/>
      <c r="H17" s="18" t="s">
        <v>37</v>
      </c>
    </row>
    <row r="18" spans="1:8" s="5" customFormat="1" x14ac:dyDescent="0.35">
      <c r="A18" s="1">
        <v>3</v>
      </c>
      <c r="B18" s="18" t="s">
        <v>53</v>
      </c>
      <c r="C18" s="19"/>
      <c r="D18" s="19">
        <v>250000</v>
      </c>
      <c r="E18" s="19">
        <v>50000</v>
      </c>
      <c r="F18" s="17" t="s">
        <v>30</v>
      </c>
      <c r="G18" s="17" t="s">
        <v>30</v>
      </c>
      <c r="H18" s="18"/>
    </row>
    <row r="19" spans="1:8" s="5" customFormat="1" x14ac:dyDescent="0.35">
      <c r="A19" s="1">
        <v>4</v>
      </c>
      <c r="B19" s="18" t="s">
        <v>7</v>
      </c>
      <c r="C19" s="19"/>
      <c r="D19" s="19">
        <v>340000</v>
      </c>
      <c r="E19" s="19">
        <v>340000</v>
      </c>
      <c r="F19" s="17" t="s">
        <v>29</v>
      </c>
      <c r="G19" s="17"/>
      <c r="H19" s="20" t="s">
        <v>73</v>
      </c>
    </row>
    <row r="20" spans="1:8" s="5" customFormat="1" x14ac:dyDescent="0.35">
      <c r="A20" s="1">
        <v>5</v>
      </c>
      <c r="B20" s="18" t="s">
        <v>8</v>
      </c>
      <c r="C20" s="19">
        <v>50000</v>
      </c>
      <c r="D20" s="19">
        <v>50000</v>
      </c>
      <c r="E20" s="19">
        <v>50000</v>
      </c>
      <c r="F20" s="17" t="s">
        <v>30</v>
      </c>
      <c r="G20" s="17" t="s">
        <v>30</v>
      </c>
      <c r="H20" s="18"/>
    </row>
    <row r="21" spans="1:8" s="5" customFormat="1" x14ac:dyDescent="0.35">
      <c r="A21" s="1">
        <v>6</v>
      </c>
      <c r="B21" s="18" t="s">
        <v>17</v>
      </c>
      <c r="C21" s="19"/>
      <c r="D21" s="19">
        <v>100000</v>
      </c>
      <c r="E21" s="19">
        <v>100000</v>
      </c>
      <c r="F21" s="17" t="s">
        <v>30</v>
      </c>
      <c r="G21" s="17" t="s">
        <v>30</v>
      </c>
      <c r="H21" s="18"/>
    </row>
    <row r="22" spans="1:8" s="5" customFormat="1" x14ac:dyDescent="0.35">
      <c r="A22" s="1">
        <v>7</v>
      </c>
      <c r="B22" s="18" t="s">
        <v>19</v>
      </c>
      <c r="C22" s="19"/>
      <c r="D22" s="19">
        <v>250000</v>
      </c>
      <c r="E22" s="19"/>
      <c r="F22" s="17" t="s">
        <v>30</v>
      </c>
      <c r="G22" s="17" t="s">
        <v>30</v>
      </c>
      <c r="H22" s="18"/>
    </row>
    <row r="23" spans="1:8" s="5" customFormat="1" x14ac:dyDescent="0.35">
      <c r="A23" s="1">
        <v>8</v>
      </c>
      <c r="B23" s="18" t="s">
        <v>9</v>
      </c>
      <c r="C23" s="19">
        <v>300000</v>
      </c>
      <c r="D23" s="19">
        <v>300000</v>
      </c>
      <c r="E23" s="19"/>
      <c r="F23" s="17" t="s">
        <v>30</v>
      </c>
      <c r="G23" s="17" t="s">
        <v>30</v>
      </c>
      <c r="H23" s="18"/>
    </row>
    <row r="24" spans="1:8" s="5" customFormat="1" ht="26" x14ac:dyDescent="0.35">
      <c r="A24" s="1">
        <v>9</v>
      </c>
      <c r="B24" s="18" t="s">
        <v>15</v>
      </c>
      <c r="C24" s="19">
        <v>250000</v>
      </c>
      <c r="D24" s="19">
        <v>250000</v>
      </c>
      <c r="E24" s="19"/>
      <c r="F24" s="17" t="s">
        <v>30</v>
      </c>
      <c r="G24" s="17" t="s">
        <v>30</v>
      </c>
      <c r="H24" s="18" t="s">
        <v>33</v>
      </c>
    </row>
    <row r="25" spans="1:8" s="5" customFormat="1" x14ac:dyDescent="0.35">
      <c r="A25" s="1">
        <v>10</v>
      </c>
      <c r="B25" s="18" t="s">
        <v>4</v>
      </c>
      <c r="C25" s="19"/>
      <c r="D25" s="19">
        <v>100000</v>
      </c>
      <c r="E25" s="19"/>
      <c r="F25" s="17" t="s">
        <v>30</v>
      </c>
      <c r="G25" s="17" t="s">
        <v>30</v>
      </c>
      <c r="H25" s="18" t="s">
        <v>34</v>
      </c>
    </row>
    <row r="26" spans="1:8" s="5" customFormat="1" x14ac:dyDescent="0.35">
      <c r="A26" s="1">
        <v>11</v>
      </c>
      <c r="B26" s="18" t="s">
        <v>5</v>
      </c>
      <c r="C26" s="19">
        <v>250000</v>
      </c>
      <c r="D26" s="19">
        <v>250000</v>
      </c>
      <c r="E26" s="19"/>
      <c r="F26" s="17" t="s">
        <v>30</v>
      </c>
      <c r="G26" s="17" t="s">
        <v>30</v>
      </c>
      <c r="H26" s="18" t="s">
        <v>34</v>
      </c>
    </row>
    <row r="27" spans="1:8" s="5" customFormat="1" x14ac:dyDescent="0.35">
      <c r="A27" s="1">
        <v>12</v>
      </c>
      <c r="B27" s="18" t="s">
        <v>18</v>
      </c>
      <c r="C27" s="19"/>
      <c r="D27" s="19"/>
      <c r="E27" s="19">
        <v>60000</v>
      </c>
      <c r="F27" s="17" t="s">
        <v>30</v>
      </c>
      <c r="G27" s="17" t="s">
        <v>30</v>
      </c>
      <c r="H27" s="18"/>
    </row>
    <row r="28" spans="1:8" s="5" customFormat="1" x14ac:dyDescent="0.35">
      <c r="A28" s="1">
        <v>13</v>
      </c>
      <c r="B28" s="18" t="s">
        <v>6</v>
      </c>
      <c r="C28" s="19"/>
      <c r="D28" s="19"/>
      <c r="E28" s="19">
        <v>500000</v>
      </c>
      <c r="F28" s="17" t="s">
        <v>30</v>
      </c>
      <c r="G28" s="17" t="s">
        <v>30</v>
      </c>
      <c r="H28" s="18"/>
    </row>
    <row r="29" spans="1:8" s="5" customFormat="1" x14ac:dyDescent="0.35">
      <c r="A29" s="1">
        <v>14</v>
      </c>
      <c r="B29" s="18" t="s">
        <v>3</v>
      </c>
      <c r="C29" s="19"/>
      <c r="D29" s="19"/>
      <c r="E29" s="19">
        <v>100000</v>
      </c>
      <c r="F29" s="17" t="s">
        <v>30</v>
      </c>
      <c r="G29" s="17" t="s">
        <v>30</v>
      </c>
      <c r="H29" s="18"/>
    </row>
    <row r="30" spans="1:8" s="5" customFormat="1" x14ac:dyDescent="0.35">
      <c r="A30" s="1">
        <v>15</v>
      </c>
      <c r="B30" s="2" t="s">
        <v>43</v>
      </c>
      <c r="C30" s="3"/>
      <c r="D30" s="19">
        <v>3000000</v>
      </c>
      <c r="E30" s="19"/>
      <c r="F30" s="17" t="s">
        <v>30</v>
      </c>
      <c r="G30" s="17" t="s">
        <v>30</v>
      </c>
      <c r="H30" s="18" t="s">
        <v>65</v>
      </c>
    </row>
    <row r="31" spans="1:8" s="5" customFormat="1" x14ac:dyDescent="0.35">
      <c r="A31" s="1">
        <v>16</v>
      </c>
      <c r="B31" s="2" t="s">
        <v>51</v>
      </c>
      <c r="C31" s="3"/>
      <c r="D31" s="19">
        <v>1000000</v>
      </c>
      <c r="E31" s="19"/>
      <c r="F31" s="17" t="s">
        <v>30</v>
      </c>
      <c r="G31" s="17" t="s">
        <v>30</v>
      </c>
      <c r="H31" s="18" t="s">
        <v>64</v>
      </c>
    </row>
    <row r="32" spans="1:8" s="5" customFormat="1" x14ac:dyDescent="0.35">
      <c r="A32" s="23"/>
      <c r="B32" s="23" t="s">
        <v>54</v>
      </c>
      <c r="C32" s="22">
        <f>SUM(C16:C31)</f>
        <v>850000</v>
      </c>
      <c r="D32" s="22">
        <f>SUM(D16:D31)</f>
        <v>6390000</v>
      </c>
      <c r="E32" s="22">
        <f>SUM(E16:E31)</f>
        <v>1540000</v>
      </c>
      <c r="F32" s="17"/>
      <c r="G32" s="17"/>
      <c r="H32" s="18"/>
    </row>
    <row r="33" spans="1:8" s="5" customFormat="1" ht="26.25" customHeight="1" x14ac:dyDescent="0.35">
      <c r="A33" s="23" t="s">
        <v>47</v>
      </c>
      <c r="B33" s="26" t="s">
        <v>67</v>
      </c>
      <c r="C33" s="24"/>
      <c r="D33" s="24"/>
      <c r="E33" s="24"/>
      <c r="F33" s="24"/>
      <c r="G33" s="24"/>
      <c r="H33" s="24"/>
    </row>
    <row r="34" spans="1:8" s="5" customFormat="1" x14ac:dyDescent="0.35">
      <c r="A34" s="17">
        <v>1</v>
      </c>
      <c r="B34" s="18" t="s">
        <v>10</v>
      </c>
      <c r="C34" s="19">
        <v>200000</v>
      </c>
      <c r="D34" s="19">
        <v>400000</v>
      </c>
      <c r="E34" s="19"/>
      <c r="F34" s="17" t="s">
        <v>30</v>
      </c>
      <c r="G34" s="17" t="s">
        <v>30</v>
      </c>
      <c r="H34" s="18"/>
    </row>
    <row r="35" spans="1:8" s="5" customFormat="1" ht="26" x14ac:dyDescent="0.35">
      <c r="A35" s="17">
        <v>2</v>
      </c>
      <c r="B35" s="18" t="s">
        <v>11</v>
      </c>
      <c r="C35" s="19">
        <v>200000</v>
      </c>
      <c r="D35" s="19">
        <v>200000</v>
      </c>
      <c r="E35" s="19"/>
      <c r="F35" s="17" t="s">
        <v>30</v>
      </c>
      <c r="G35" s="17" t="s">
        <v>30</v>
      </c>
      <c r="H35" s="18" t="s">
        <v>38</v>
      </c>
    </row>
    <row r="36" spans="1:8" s="5" customFormat="1" ht="26" x14ac:dyDescent="0.35">
      <c r="A36" s="17">
        <v>3</v>
      </c>
      <c r="B36" s="18" t="s">
        <v>12</v>
      </c>
      <c r="C36" s="19">
        <v>200000</v>
      </c>
      <c r="D36" s="19">
        <v>200000</v>
      </c>
      <c r="E36" s="19"/>
      <c r="F36" s="17" t="s">
        <v>30</v>
      </c>
      <c r="G36" s="17" t="s">
        <v>30</v>
      </c>
      <c r="H36" s="18" t="s">
        <v>38</v>
      </c>
    </row>
    <row r="37" spans="1:8" s="5" customFormat="1" ht="26" x14ac:dyDescent="0.35">
      <c r="A37" s="17">
        <v>4</v>
      </c>
      <c r="B37" s="18" t="s">
        <v>13</v>
      </c>
      <c r="C37" s="19">
        <v>200000</v>
      </c>
      <c r="D37" s="19">
        <v>200000</v>
      </c>
      <c r="E37" s="19"/>
      <c r="F37" s="17" t="s">
        <v>30</v>
      </c>
      <c r="G37" s="17" t="s">
        <v>30</v>
      </c>
      <c r="H37" s="18" t="s">
        <v>38</v>
      </c>
    </row>
    <row r="38" spans="1:8" s="5" customFormat="1" x14ac:dyDescent="0.35">
      <c r="A38" s="17">
        <v>5</v>
      </c>
      <c r="B38" s="18" t="s">
        <v>32</v>
      </c>
      <c r="C38" s="19">
        <v>100000</v>
      </c>
      <c r="D38" s="19">
        <v>100000</v>
      </c>
      <c r="E38" s="19"/>
      <c r="F38" s="17" t="s">
        <v>30</v>
      </c>
      <c r="G38" s="17" t="s">
        <v>30</v>
      </c>
      <c r="H38" s="18"/>
    </row>
    <row r="39" spans="1:8" s="5" customFormat="1" x14ac:dyDescent="0.35">
      <c r="A39" s="17">
        <v>6</v>
      </c>
      <c r="B39" s="18" t="s">
        <v>14</v>
      </c>
      <c r="C39" s="19">
        <v>200000</v>
      </c>
      <c r="D39" s="19">
        <v>200000</v>
      </c>
      <c r="E39" s="19"/>
      <c r="F39" s="17" t="s">
        <v>30</v>
      </c>
      <c r="G39" s="17" t="s">
        <v>30</v>
      </c>
      <c r="H39" s="18"/>
    </row>
    <row r="40" spans="1:8" s="5" customFormat="1" x14ac:dyDescent="0.35">
      <c r="A40" s="17">
        <v>7</v>
      </c>
      <c r="B40" s="18" t="s">
        <v>26</v>
      </c>
      <c r="C40" s="19">
        <v>200000</v>
      </c>
      <c r="D40" s="19">
        <v>200000</v>
      </c>
      <c r="E40" s="19"/>
      <c r="F40" s="17" t="s">
        <v>30</v>
      </c>
      <c r="G40" s="17" t="s">
        <v>30</v>
      </c>
      <c r="H40" s="18"/>
    </row>
    <row r="41" spans="1:8" s="5" customFormat="1" ht="26" x14ac:dyDescent="0.35">
      <c r="A41" s="17">
        <v>8</v>
      </c>
      <c r="B41" s="18" t="s">
        <v>15</v>
      </c>
      <c r="C41" s="19">
        <v>250000</v>
      </c>
      <c r="D41" s="19">
        <v>250000</v>
      </c>
      <c r="E41" s="19"/>
      <c r="F41" s="17" t="s">
        <v>30</v>
      </c>
      <c r="G41" s="17" t="s">
        <v>30</v>
      </c>
      <c r="H41" s="18" t="s">
        <v>33</v>
      </c>
    </row>
    <row r="42" spans="1:8" s="5" customFormat="1" x14ac:dyDescent="0.35">
      <c r="A42" s="17">
        <v>9</v>
      </c>
      <c r="B42" s="18" t="s">
        <v>16</v>
      </c>
      <c r="C42" s="19">
        <v>200000</v>
      </c>
      <c r="D42" s="19">
        <v>200000</v>
      </c>
      <c r="E42" s="19"/>
      <c r="F42" s="17" t="s">
        <v>30</v>
      </c>
      <c r="G42" s="17" t="s">
        <v>30</v>
      </c>
      <c r="H42" s="18" t="s">
        <v>55</v>
      </c>
    </row>
    <row r="43" spans="1:8" s="5" customFormat="1" x14ac:dyDescent="0.35">
      <c r="A43" s="17">
        <v>10</v>
      </c>
      <c r="B43" s="18" t="s">
        <v>21</v>
      </c>
      <c r="C43" s="19"/>
      <c r="D43" s="19"/>
      <c r="E43" s="19">
        <v>200000</v>
      </c>
      <c r="F43" s="17" t="s">
        <v>30</v>
      </c>
      <c r="G43" s="17" t="s">
        <v>30</v>
      </c>
      <c r="H43" s="18"/>
    </row>
    <row r="44" spans="1:8" s="5" customFormat="1" ht="26" x14ac:dyDescent="0.35">
      <c r="A44" s="17">
        <v>11</v>
      </c>
      <c r="B44" s="18" t="s">
        <v>36</v>
      </c>
      <c r="C44" s="19"/>
      <c r="D44" s="19"/>
      <c r="E44" s="19">
        <v>200000</v>
      </c>
      <c r="F44" s="17" t="s">
        <v>30</v>
      </c>
      <c r="G44" s="17" t="s">
        <v>30</v>
      </c>
      <c r="H44" s="18"/>
    </row>
    <row r="45" spans="1:8" s="5" customFormat="1" x14ac:dyDescent="0.35">
      <c r="A45" s="17">
        <v>12</v>
      </c>
      <c r="B45" s="18" t="s">
        <v>20</v>
      </c>
      <c r="C45" s="19"/>
      <c r="D45" s="19"/>
      <c r="E45" s="19">
        <v>100000</v>
      </c>
      <c r="F45" s="17" t="s">
        <v>30</v>
      </c>
      <c r="G45" s="17" t="s">
        <v>30</v>
      </c>
      <c r="H45" s="18"/>
    </row>
    <row r="46" spans="1:8" s="5" customFormat="1" x14ac:dyDescent="0.35">
      <c r="A46" s="17">
        <v>13</v>
      </c>
      <c r="B46" s="18" t="s">
        <v>22</v>
      </c>
      <c r="C46" s="19"/>
      <c r="D46" s="19"/>
      <c r="E46" s="19">
        <v>300000</v>
      </c>
      <c r="F46" s="17" t="s">
        <v>30</v>
      </c>
      <c r="G46" s="17"/>
      <c r="H46" s="18"/>
    </row>
    <row r="47" spans="1:8" s="5" customFormat="1" x14ac:dyDescent="0.35">
      <c r="A47" s="17">
        <v>14</v>
      </c>
      <c r="B47" s="18" t="s">
        <v>39</v>
      </c>
      <c r="C47" s="19"/>
      <c r="D47" s="19"/>
      <c r="E47" s="19">
        <v>100000</v>
      </c>
      <c r="F47" s="17" t="s">
        <v>30</v>
      </c>
      <c r="G47" s="17" t="s">
        <v>30</v>
      </c>
      <c r="H47" s="18"/>
    </row>
    <row r="48" spans="1:8" s="5" customFormat="1" x14ac:dyDescent="0.35">
      <c r="A48" s="17">
        <v>15</v>
      </c>
      <c r="B48" s="2" t="s">
        <v>56</v>
      </c>
      <c r="C48" s="3"/>
      <c r="D48" s="3">
        <v>400000</v>
      </c>
      <c r="E48" s="19"/>
      <c r="F48" s="17" t="s">
        <v>30</v>
      </c>
      <c r="G48" s="17" t="s">
        <v>30</v>
      </c>
      <c r="H48" s="18" t="s">
        <v>41</v>
      </c>
    </row>
    <row r="49" spans="1:8" s="5" customFormat="1" ht="26" x14ac:dyDescent="0.35">
      <c r="A49" s="17">
        <v>16</v>
      </c>
      <c r="B49" s="2" t="s">
        <v>57</v>
      </c>
      <c r="C49" s="3"/>
      <c r="D49" s="3">
        <v>200000</v>
      </c>
      <c r="E49" s="19"/>
      <c r="F49" s="17" t="s">
        <v>30</v>
      </c>
      <c r="G49" s="17" t="s">
        <v>30</v>
      </c>
      <c r="H49" s="18" t="s">
        <v>58</v>
      </c>
    </row>
    <row r="50" spans="1:8" s="5" customFormat="1" x14ac:dyDescent="0.35">
      <c r="A50" s="17">
        <v>17</v>
      </c>
      <c r="B50" s="2" t="s">
        <v>50</v>
      </c>
      <c r="C50" s="3"/>
      <c r="D50" s="3" t="s">
        <v>42</v>
      </c>
      <c r="E50" s="19"/>
      <c r="F50" s="17" t="s">
        <v>30</v>
      </c>
      <c r="G50" s="17" t="s">
        <v>30</v>
      </c>
      <c r="H50" s="18" t="s">
        <v>41</v>
      </c>
    </row>
    <row r="51" spans="1:8" s="5" customFormat="1" x14ac:dyDescent="0.35">
      <c r="A51" s="17">
        <v>18</v>
      </c>
      <c r="B51" s="2" t="s">
        <v>48</v>
      </c>
      <c r="C51" s="3"/>
      <c r="D51" s="3" t="s">
        <v>40</v>
      </c>
      <c r="E51" s="19"/>
      <c r="F51" s="17" t="s">
        <v>30</v>
      </c>
      <c r="G51" s="17" t="s">
        <v>30</v>
      </c>
      <c r="H51" s="18" t="s">
        <v>41</v>
      </c>
    </row>
    <row r="52" spans="1:8" s="5" customFormat="1" x14ac:dyDescent="0.35">
      <c r="A52" s="17">
        <v>19</v>
      </c>
      <c r="B52" s="2" t="s">
        <v>49</v>
      </c>
      <c r="C52" s="3"/>
      <c r="D52" s="3">
        <v>900000</v>
      </c>
      <c r="E52" s="19"/>
      <c r="F52" s="17" t="s">
        <v>30</v>
      </c>
      <c r="G52" s="17" t="s">
        <v>30</v>
      </c>
      <c r="H52" s="18" t="s">
        <v>41</v>
      </c>
    </row>
    <row r="53" spans="1:8" s="5" customFormat="1" x14ac:dyDescent="0.35">
      <c r="A53" s="23"/>
      <c r="B53" s="23" t="s">
        <v>54</v>
      </c>
      <c r="C53" s="22">
        <f>SUM(C34:C52)</f>
        <v>1750000</v>
      </c>
      <c r="D53" s="22">
        <f>SUM(D34:D52)</f>
        <v>3450000</v>
      </c>
      <c r="E53" s="22">
        <f>SUM(E34:E52)</f>
        <v>900000</v>
      </c>
      <c r="F53" s="17"/>
      <c r="G53" s="17"/>
      <c r="H53" s="18"/>
    </row>
    <row r="54" spans="1:8" s="5" customFormat="1" x14ac:dyDescent="0.35">
      <c r="A54" s="11"/>
      <c r="B54" s="11"/>
      <c r="C54" s="11"/>
      <c r="D54" s="11"/>
      <c r="E54" s="11"/>
      <c r="F54" s="12"/>
      <c r="G54" s="12"/>
      <c r="H54" s="11"/>
    </row>
  </sheetData>
  <pageMargins left="0.45" right="0.45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3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Tran Duc</dc:creator>
  <cp:lastModifiedBy>Nghia Tran Duc</cp:lastModifiedBy>
  <cp:lastPrinted>2026-09-03T09:35:42Z</cp:lastPrinted>
  <dcterms:created xsi:type="dcterms:W3CDTF">2026-09-02T23:24:12Z</dcterms:created>
  <dcterms:modified xsi:type="dcterms:W3CDTF">2026-09-12T00:32:25Z</dcterms:modified>
</cp:coreProperties>
</file>